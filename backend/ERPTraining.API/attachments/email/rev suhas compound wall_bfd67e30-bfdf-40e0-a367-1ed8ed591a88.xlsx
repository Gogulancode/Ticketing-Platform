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bajishivram1-my.sharepoint.com/personal/pranav_keer_babajishivram_com/Documents/Desktop/"/>
    </mc:Choice>
  </mc:AlternateContent>
  <xr:revisionPtr revIDLastSave="0" documentId="8_{7409E163-B489-4D53-9739-2C1F399B7CAE}" xr6:coauthVersionLast="47" xr6:coauthVersionMax="47" xr10:uidLastSave="{00000000-0000-0000-0000-000000000000}"/>
  <bookViews>
    <workbookView xWindow="-108" yWindow="-108" windowWidth="23256" windowHeight="12456" xr2:uid="{0F561127-54A9-4808-B300-4F9950FD37F0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E25" i="1"/>
  <c r="J24" i="1"/>
  <c r="H24" i="1"/>
  <c r="G24" i="1"/>
  <c r="F24" i="1"/>
  <c r="I24" i="1" s="1"/>
  <c r="J23" i="1"/>
  <c r="I23" i="1"/>
  <c r="H23" i="1"/>
  <c r="J22" i="1"/>
  <c r="E21" i="1"/>
  <c r="J21" i="1" s="1"/>
  <c r="J20" i="1"/>
  <c r="F20" i="1"/>
  <c r="I20" i="1" s="1"/>
  <c r="E20" i="1"/>
  <c r="J19" i="1"/>
  <c r="E19" i="1"/>
  <c r="F19" i="1" s="1"/>
  <c r="J18" i="1"/>
  <c r="F18" i="1"/>
  <c r="I18" i="1" s="1"/>
  <c r="E18" i="1"/>
  <c r="J17" i="1"/>
  <c r="E17" i="1"/>
  <c r="F17" i="1" s="1"/>
  <c r="J16" i="1"/>
  <c r="F16" i="1"/>
  <c r="I16" i="1" s="1"/>
  <c r="E16" i="1"/>
  <c r="J15" i="1"/>
  <c r="E15" i="1"/>
  <c r="F15" i="1" s="1"/>
  <c r="J14" i="1"/>
  <c r="F14" i="1"/>
  <c r="I14" i="1" s="1"/>
  <c r="E14" i="1"/>
  <c r="J13" i="1"/>
  <c r="E13" i="1"/>
  <c r="F13" i="1" s="1"/>
  <c r="J12" i="1"/>
  <c r="F12" i="1"/>
  <c r="I12" i="1" s="1"/>
  <c r="E12" i="1"/>
  <c r="J11" i="1"/>
  <c r="E11" i="1"/>
  <c r="F11" i="1" s="1"/>
  <c r="G19" i="1" l="1"/>
  <c r="I19" i="1"/>
  <c r="H19" i="1"/>
  <c r="G13" i="1"/>
  <c r="I13" i="1"/>
  <c r="H13" i="1"/>
  <c r="G15" i="1"/>
  <c r="I15" i="1"/>
  <c r="H15" i="1"/>
  <c r="G11" i="1"/>
  <c r="H11" i="1"/>
  <c r="F27" i="1"/>
  <c r="I11" i="1"/>
  <c r="E30" i="1"/>
  <c r="G17" i="1"/>
  <c r="I17" i="1"/>
  <c r="H17" i="1"/>
  <c r="G12" i="1"/>
  <c r="G16" i="1"/>
  <c r="H12" i="1"/>
  <c r="H14" i="1"/>
  <c r="H16" i="1"/>
  <c r="H18" i="1"/>
  <c r="H20" i="1"/>
  <c r="F21" i="1"/>
  <c r="G14" i="1"/>
  <c r="G18" i="1"/>
  <c r="G20" i="1"/>
  <c r="F30" i="1" l="1"/>
  <c r="E31" i="1"/>
  <c r="F31" i="1" s="1"/>
  <c r="G21" i="1"/>
  <c r="G27" i="1" s="1"/>
  <c r="I21" i="1"/>
  <c r="H21" i="1"/>
</calcChain>
</file>

<file path=xl/sharedStrings.xml><?xml version="1.0" encoding="utf-8"?>
<sst xmlns="http://schemas.openxmlformats.org/spreadsheetml/2006/main" count="54" uniqueCount="39">
  <si>
    <t>Name of SEZ Unit: Babaji Shivram Clearing &amp; Carriers Pvt. Ltd.</t>
  </si>
  <si>
    <t>SEZ :- JNPA SEZ</t>
  </si>
  <si>
    <t>LOA No. JNPA/SEZ/TR/116/2022/70</t>
  </si>
  <si>
    <t>List of Goods required for Authorised Operations</t>
  </si>
  <si>
    <t>Instruction No. 50 dated 15.03.2010. Department of Commerce. MOC&amp;I</t>
  </si>
  <si>
    <t>Application No :- BS/JNPA/02</t>
  </si>
  <si>
    <t>Sr.
No.</t>
  </si>
  <si>
    <t>Description of the Goods</t>
  </si>
  <si>
    <t>Quantity</t>
  </si>
  <si>
    <t>Unit of Measurement</t>
  </si>
  <si>
    <t>Rate</t>
  </si>
  <si>
    <t>Value (Rs.)</t>
  </si>
  <si>
    <t xml:space="preserve">Duty
Forgone </t>
  </si>
  <si>
    <t>Authorised Operation : Construction of Boundary wall, warehouse, etc.</t>
  </si>
  <si>
    <t>Civil Material</t>
  </si>
  <si>
    <t>PCC &amp; Plumb Concrete</t>
  </si>
  <si>
    <t>cum</t>
  </si>
  <si>
    <t>Soling</t>
  </si>
  <si>
    <t>RCC on raft, footings, wall, columns, foundations, etc</t>
  </si>
  <si>
    <t>Shuttering on raft, footings, wall, columns, foundations, etc</t>
  </si>
  <si>
    <t>Sqm</t>
  </si>
  <si>
    <t>Reinforced steel work including steel supply</t>
  </si>
  <si>
    <t>MT</t>
  </si>
  <si>
    <t>Precast dense cemenet concrete panels</t>
  </si>
  <si>
    <t>Precast cement solid concrete bocks</t>
  </si>
  <si>
    <t>Precast cement plaster</t>
  </si>
  <si>
    <t>Painting</t>
  </si>
  <si>
    <t>Concertina coil fencing</t>
  </si>
  <si>
    <t>Rmt</t>
  </si>
  <si>
    <t>Piling</t>
  </si>
  <si>
    <t xml:space="preserve"> </t>
  </si>
  <si>
    <t>Civil Contractor Services</t>
  </si>
  <si>
    <t>Earth work excavation</t>
  </si>
  <si>
    <t>Other Labour work</t>
  </si>
  <si>
    <t>Grand Total</t>
  </si>
  <si>
    <t>Grand Total (Rs. In Crores)</t>
  </si>
  <si>
    <t>supply</t>
  </si>
  <si>
    <t>supply + excavation labour</t>
  </si>
  <si>
    <t>total incl supply and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</si>
</sst>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0" borderId="1" xfId="1" applyNumberFormat="1" applyFont="1" applyBorder="1"/>
    <xf numFmtId="166" fontId="0" fillId="0" borderId="0" xfId="0" applyNumberFormat="1"/>
    <xf numFmtId="164" fontId="0" fillId="0" borderId="2" xfId="1" applyNumberFormat="1" applyFont="1" applyBorder="1"/>
    <xf numFmtId="1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/>
    <xf numFmtId="166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586740</xdr:colOff>
      <xdr:row>33</xdr:row>
      <xdr:rowOff>99059</xdr:rowOff>
    </xdr:from>
    <xdr:to>
      <xdr:col>6</xdr:col>
      <xdr:colOff>321543</xdr:colOff>
      <xdr:row>45</xdr:row>
      <xdr:rowOff>25322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0B059-343E-4568-A5CF-27DA27263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540" y="6644639"/>
          <a:ext cx="2135103" cy="1937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45BF-7760-4F93-AF0A-248C6F69E4E1}">
  <dimension ref="A2:N31"/>
  <sheetViews>
    <sheetView showGridLines="0" tabSelected="1" topLeftCell="A25" zoomScaleNormal="100" workbookViewId="0">
      <selection activeCell="O41" sqref="O41"/>
    </sheetView>
  </sheetViews>
  <sheetFormatPr defaultRowHeight="13.2" x14ac:dyDescent="0.25"/>
  <cols>
    <col min="1" max="1" width="5.6640625" customWidth="1"/>
    <col min="2" max="2" width="23.21875" customWidth="1"/>
    <col min="4" max="4" width="10" customWidth="1"/>
    <col min="5" max="5" width="12" bestFit="1" customWidth="1"/>
    <col min="6" max="6" width="13" customWidth="1"/>
    <col min="7" max="7" width="14.6640625" bestFit="1" customWidth="1"/>
    <col min="8" max="8" width="10.44140625" hidden="1" customWidth="1"/>
    <col min="9" max="9" width="10.21875" hidden="1" customWidth="1"/>
    <col min="10" max="10" width="7.6640625" hidden="1" customWidth="1"/>
    <col min="11" max="11" width="8.88671875" hidden="1" customWidth="1"/>
    <col min="12" max="12" width="6.88671875" hidden="1" customWidth="1"/>
    <col min="13" max="13" width="5.33203125" hidden="1" customWidth="1"/>
  </cols>
  <sheetData>
    <row r="2" spans="1:12" ht="13.8" x14ac:dyDescent="0.25">
      <c r="A2" s="1" t="s">
        <v>0</v>
      </c>
      <c r="B2" s="1"/>
      <c r="C2" s="1"/>
      <c r="D2" s="1"/>
      <c r="E2" s="1"/>
      <c r="F2" s="1"/>
      <c r="G2" s="1"/>
    </row>
    <row r="3" spans="1:12" x14ac:dyDescent="0.25">
      <c r="A3" s="2" t="s">
        <v>1</v>
      </c>
      <c r="B3" s="2"/>
      <c r="C3" s="2"/>
      <c r="D3" s="2"/>
      <c r="E3" s="2"/>
      <c r="F3" s="2"/>
      <c r="G3" s="2"/>
    </row>
    <row r="4" spans="1:12" x14ac:dyDescent="0.25">
      <c r="A4" s="3" t="s">
        <v>2</v>
      </c>
      <c r="B4" s="3"/>
      <c r="C4" s="3"/>
      <c r="D4" s="3"/>
      <c r="E4" s="3"/>
      <c r="F4" s="3"/>
      <c r="G4" s="3"/>
    </row>
    <row r="5" spans="1:12" x14ac:dyDescent="0.25">
      <c r="A5" s="3" t="s">
        <v>3</v>
      </c>
      <c r="B5" s="3"/>
      <c r="C5" s="3"/>
      <c r="D5" s="3"/>
      <c r="E5" s="3"/>
      <c r="F5" s="3"/>
      <c r="G5" s="3"/>
    </row>
    <row r="6" spans="1:12" x14ac:dyDescent="0.25">
      <c r="A6" s="2" t="s">
        <v>4</v>
      </c>
      <c r="B6" s="2"/>
      <c r="C6" s="2"/>
      <c r="D6" s="2"/>
      <c r="E6" s="2"/>
      <c r="F6" s="2"/>
      <c r="G6" s="2"/>
    </row>
    <row r="7" spans="1:12" ht="13.8" thickBot="1" x14ac:dyDescent="0.3">
      <c r="A7" s="4" t="s">
        <v>5</v>
      </c>
      <c r="B7" s="4"/>
      <c r="C7" s="4"/>
      <c r="D7" s="4"/>
      <c r="E7" s="4"/>
      <c r="F7" s="4"/>
      <c r="G7" s="4"/>
    </row>
    <row r="8" spans="1:12" ht="40.200000000000003" thickBot="1" x14ac:dyDescent="0.3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</row>
    <row r="9" spans="1:12" ht="13.8" thickBot="1" x14ac:dyDescent="0.3">
      <c r="A9" s="6" t="s">
        <v>13</v>
      </c>
      <c r="B9" s="6"/>
      <c r="C9" s="6"/>
      <c r="D9" s="6"/>
      <c r="E9" s="6"/>
      <c r="F9" s="6"/>
      <c r="G9" s="6"/>
    </row>
    <row r="10" spans="1:12" ht="13.8" thickBot="1" x14ac:dyDescent="0.3">
      <c r="A10" s="7" t="s">
        <v>14</v>
      </c>
      <c r="B10" s="7"/>
      <c r="C10" s="7"/>
      <c r="D10" s="7"/>
      <c r="E10" s="8"/>
      <c r="F10" s="8"/>
      <c r="G10" s="8"/>
    </row>
    <row r="11" spans="1:12" ht="13.8" thickBot="1" x14ac:dyDescent="0.3">
      <c r="A11" s="9"/>
      <c r="B11" s="9" t="s">
        <v>15</v>
      </c>
      <c r="C11" s="9">
        <v>106</v>
      </c>
      <c r="D11" s="9" t="s">
        <v>16</v>
      </c>
      <c r="E11" s="10">
        <f>L11*60%</f>
        <v>3300</v>
      </c>
      <c r="F11" s="11">
        <f>C11*E11</f>
        <v>349800</v>
      </c>
      <c r="G11" s="11">
        <f>F11*18%</f>
        <v>62964</v>
      </c>
      <c r="H11" s="12">
        <f>F11*60%</f>
        <v>209880</v>
      </c>
      <c r="I11" s="12">
        <f>F11*40%</f>
        <v>139920</v>
      </c>
      <c r="J11" s="12">
        <f>L11*60%</f>
        <v>3300</v>
      </c>
      <c r="L11" s="13">
        <v>5500</v>
      </c>
    </row>
    <row r="12" spans="1:12" ht="13.8" thickBot="1" x14ac:dyDescent="0.3">
      <c r="A12" s="9"/>
      <c r="B12" s="9" t="s">
        <v>17</v>
      </c>
      <c r="C12" s="14">
        <v>46.62</v>
      </c>
      <c r="D12" s="9" t="s">
        <v>16</v>
      </c>
      <c r="E12" s="9">
        <f>L12*60%</f>
        <v>1230</v>
      </c>
      <c r="F12" s="11">
        <f t="shared" ref="F12:F21" si="0">C12*E12</f>
        <v>57342.6</v>
      </c>
      <c r="G12" s="11">
        <f>F12*18%</f>
        <v>10321.668</v>
      </c>
      <c r="H12" s="12">
        <f>F12*60%</f>
        <v>34405.56</v>
      </c>
      <c r="I12" s="12">
        <f>F12*40%</f>
        <v>22937.040000000001</v>
      </c>
      <c r="J12" s="12">
        <f>L12*60%</f>
        <v>1230</v>
      </c>
      <c r="L12" s="15">
        <v>2050</v>
      </c>
    </row>
    <row r="13" spans="1:12" ht="27" thickBot="1" x14ac:dyDescent="0.3">
      <c r="A13" s="9"/>
      <c r="B13" s="16" t="s">
        <v>18</v>
      </c>
      <c r="C13" s="14">
        <v>125.76</v>
      </c>
      <c r="D13" s="9" t="s">
        <v>16</v>
      </c>
      <c r="E13" s="9">
        <f t="shared" ref="E13:E21" si="1">L13*60%</f>
        <v>4500</v>
      </c>
      <c r="F13" s="11">
        <f t="shared" si="0"/>
        <v>565920</v>
      </c>
      <c r="G13" s="11">
        <f>F13*18%</f>
        <v>101865.59999999999</v>
      </c>
      <c r="H13" s="12">
        <f t="shared" ref="H13:H24" si="2">F13*60%</f>
        <v>339552</v>
      </c>
      <c r="I13" s="12">
        <f t="shared" ref="I13:I24" si="3">F13*40%</f>
        <v>226368</v>
      </c>
      <c r="J13" s="12">
        <f>L13*60%</f>
        <v>4500</v>
      </c>
      <c r="L13" s="15">
        <v>7500</v>
      </c>
    </row>
    <row r="14" spans="1:12" ht="40.200000000000003" thickBot="1" x14ac:dyDescent="0.3">
      <c r="A14" s="9"/>
      <c r="B14" s="16" t="s">
        <v>19</v>
      </c>
      <c r="C14" s="9">
        <v>1103.5999999999999</v>
      </c>
      <c r="D14" s="9" t="s">
        <v>20</v>
      </c>
      <c r="E14" s="9">
        <f t="shared" si="1"/>
        <v>330</v>
      </c>
      <c r="F14" s="11">
        <f t="shared" si="0"/>
        <v>364187.99999999994</v>
      </c>
      <c r="G14" s="11">
        <f>F14*18%</f>
        <v>65553.839999999982</v>
      </c>
      <c r="H14" s="12">
        <f t="shared" si="2"/>
        <v>218512.79999999996</v>
      </c>
      <c r="I14" s="12">
        <f t="shared" si="3"/>
        <v>145675.19999999998</v>
      </c>
      <c r="J14" s="12">
        <f>L14*60%</f>
        <v>330</v>
      </c>
      <c r="L14" s="15">
        <v>550</v>
      </c>
    </row>
    <row r="15" spans="1:12" ht="27" thickBot="1" x14ac:dyDescent="0.3">
      <c r="A15" s="9"/>
      <c r="B15" s="16" t="s">
        <v>21</v>
      </c>
      <c r="C15" s="14">
        <v>142.1</v>
      </c>
      <c r="D15" s="9" t="s">
        <v>22</v>
      </c>
      <c r="E15" s="9">
        <f t="shared" si="1"/>
        <v>49200</v>
      </c>
      <c r="F15" s="11">
        <f t="shared" si="0"/>
        <v>6991320</v>
      </c>
      <c r="G15" s="11">
        <f>F15*18%</f>
        <v>1258437.5999999999</v>
      </c>
      <c r="H15" s="12">
        <f t="shared" si="2"/>
        <v>4194792</v>
      </c>
      <c r="I15" s="12">
        <f t="shared" si="3"/>
        <v>2796528</v>
      </c>
      <c r="J15" s="12">
        <f>L15*60%</f>
        <v>49200</v>
      </c>
      <c r="L15" s="15">
        <v>82000</v>
      </c>
    </row>
    <row r="16" spans="1:12" ht="27" thickBot="1" x14ac:dyDescent="0.3">
      <c r="A16" s="9"/>
      <c r="B16" s="16" t="s">
        <v>23</v>
      </c>
      <c r="C16" s="9">
        <v>470</v>
      </c>
      <c r="D16" s="9" t="s">
        <v>20</v>
      </c>
      <c r="E16" s="9">
        <f t="shared" si="1"/>
        <v>484.2</v>
      </c>
      <c r="F16" s="11">
        <f t="shared" si="0"/>
        <v>227574</v>
      </c>
      <c r="G16" s="11">
        <f>F16*18%</f>
        <v>40963.32</v>
      </c>
      <c r="H16" s="12">
        <f t="shared" si="2"/>
        <v>136544.4</v>
      </c>
      <c r="I16" s="12">
        <f t="shared" si="3"/>
        <v>91029.6</v>
      </c>
      <c r="J16" s="12">
        <f>L16*60%</f>
        <v>484.2</v>
      </c>
      <c r="L16" s="15">
        <v>807</v>
      </c>
    </row>
    <row r="17" spans="1:12" ht="27" thickBot="1" x14ac:dyDescent="0.3">
      <c r="A17" s="9"/>
      <c r="B17" s="16" t="s">
        <v>24</v>
      </c>
      <c r="C17" s="9">
        <v>94</v>
      </c>
      <c r="D17" s="9" t="s">
        <v>16</v>
      </c>
      <c r="E17" s="9">
        <f t="shared" si="1"/>
        <v>3000</v>
      </c>
      <c r="F17" s="11">
        <f t="shared" si="0"/>
        <v>282000</v>
      </c>
      <c r="G17" s="11">
        <f>F17*18%</f>
        <v>50760</v>
      </c>
      <c r="H17" s="12">
        <f t="shared" si="2"/>
        <v>169200</v>
      </c>
      <c r="I17" s="12">
        <f t="shared" si="3"/>
        <v>112800</v>
      </c>
      <c r="J17" s="12">
        <f>L17*60%</f>
        <v>3000</v>
      </c>
      <c r="L17" s="15">
        <v>5000</v>
      </c>
    </row>
    <row r="18" spans="1:12" ht="13.8" thickBot="1" x14ac:dyDescent="0.3">
      <c r="A18" s="9"/>
      <c r="B18" s="16" t="s">
        <v>25</v>
      </c>
      <c r="C18" s="9">
        <v>925.6</v>
      </c>
      <c r="D18" s="9" t="s">
        <v>20</v>
      </c>
      <c r="E18" s="9">
        <f t="shared" si="1"/>
        <v>240</v>
      </c>
      <c r="F18" s="11">
        <f t="shared" si="0"/>
        <v>222144</v>
      </c>
      <c r="G18" s="11">
        <f>F18*18%</f>
        <v>39985.919999999998</v>
      </c>
      <c r="H18" s="12">
        <f t="shared" si="2"/>
        <v>133286.39999999999</v>
      </c>
      <c r="I18" s="12">
        <f t="shared" si="3"/>
        <v>88857.600000000006</v>
      </c>
      <c r="J18" s="12">
        <f>L18*60%</f>
        <v>240</v>
      </c>
      <c r="L18" s="15">
        <v>400</v>
      </c>
    </row>
    <row r="19" spans="1:12" ht="13.8" thickBot="1" x14ac:dyDescent="0.3">
      <c r="A19" s="9"/>
      <c r="B19" s="9" t="s">
        <v>26</v>
      </c>
      <c r="C19" s="14">
        <v>1851.2</v>
      </c>
      <c r="D19" s="9" t="s">
        <v>20</v>
      </c>
      <c r="E19" s="9">
        <f t="shared" si="1"/>
        <v>120</v>
      </c>
      <c r="F19" s="11">
        <f t="shared" si="0"/>
        <v>222144</v>
      </c>
      <c r="G19" s="11">
        <f>F19*18%</f>
        <v>39985.919999999998</v>
      </c>
      <c r="H19" s="12">
        <f t="shared" si="2"/>
        <v>133286.39999999999</v>
      </c>
      <c r="I19" s="12">
        <f t="shared" si="3"/>
        <v>88857.600000000006</v>
      </c>
      <c r="J19" s="12">
        <f>L19*60%</f>
        <v>120</v>
      </c>
      <c r="L19" s="15">
        <v>200</v>
      </c>
    </row>
    <row r="20" spans="1:12" ht="13.8" thickBot="1" x14ac:dyDescent="0.3">
      <c r="A20" s="9"/>
      <c r="B20" s="9" t="s">
        <v>27</v>
      </c>
      <c r="C20" s="9">
        <v>392</v>
      </c>
      <c r="D20" s="9" t="s">
        <v>28</v>
      </c>
      <c r="E20" s="9">
        <f t="shared" si="1"/>
        <v>1800</v>
      </c>
      <c r="F20" s="11">
        <f t="shared" si="0"/>
        <v>705600</v>
      </c>
      <c r="G20" s="11">
        <f>F20*18%</f>
        <v>127008</v>
      </c>
      <c r="H20" s="12">
        <f t="shared" si="2"/>
        <v>423360</v>
      </c>
      <c r="I20" s="12">
        <f t="shared" si="3"/>
        <v>282240</v>
      </c>
      <c r="J20" s="12">
        <f>L20*60%</f>
        <v>1800</v>
      </c>
      <c r="L20" s="15">
        <v>3000</v>
      </c>
    </row>
    <row r="21" spans="1:12" ht="13.8" thickBot="1" x14ac:dyDescent="0.3">
      <c r="A21" s="9"/>
      <c r="B21" s="9" t="s">
        <v>29</v>
      </c>
      <c r="C21" s="9">
        <v>2160</v>
      </c>
      <c r="D21" s="9" t="s">
        <v>28</v>
      </c>
      <c r="E21" s="14">
        <f t="shared" si="1"/>
        <v>1741.2</v>
      </c>
      <c r="F21" s="11">
        <f t="shared" si="0"/>
        <v>3760992</v>
      </c>
      <c r="G21" s="11">
        <f>F21*18%</f>
        <v>676978.55999999994</v>
      </c>
      <c r="H21" s="12">
        <f t="shared" si="2"/>
        <v>2256595.1999999997</v>
      </c>
      <c r="I21" s="12">
        <f t="shared" si="3"/>
        <v>1504396.8</v>
      </c>
      <c r="J21" s="12">
        <f t="shared" ref="J21:J32" si="4">E21*60%</f>
        <v>1044.72</v>
      </c>
      <c r="L21" s="17">
        <v>2902</v>
      </c>
    </row>
    <row r="22" spans="1:12" ht="13.8" thickBot="1" x14ac:dyDescent="0.3">
      <c r="A22" s="9"/>
      <c r="B22" s="9"/>
      <c r="C22" s="9"/>
      <c r="D22" s="9"/>
      <c r="E22" s="9"/>
      <c r="F22" s="10" t="s">
        <v>30</v>
      </c>
      <c r="G22" s="9" t="s">
        <v>30</v>
      </c>
      <c r="H22" s="12" t="s">
        <v>30</v>
      </c>
      <c r="I22" s="12" t="s">
        <v>30</v>
      </c>
      <c r="J22" s="12">
        <f t="shared" si="4"/>
        <v>0</v>
      </c>
    </row>
    <row r="23" spans="1:12" ht="13.8" thickBot="1" x14ac:dyDescent="0.3">
      <c r="A23" s="9"/>
      <c r="B23" s="9" t="s">
        <v>31</v>
      </c>
      <c r="C23" s="9"/>
      <c r="D23" s="9"/>
      <c r="E23" s="9"/>
      <c r="F23" s="9"/>
      <c r="G23" s="9"/>
      <c r="H23" s="12">
        <f t="shared" si="2"/>
        <v>0</v>
      </c>
      <c r="I23" s="12">
        <f t="shared" si="3"/>
        <v>0</v>
      </c>
      <c r="J23" s="12">
        <f t="shared" si="4"/>
        <v>0</v>
      </c>
    </row>
    <row r="24" spans="1:12" ht="13.8" thickBot="1" x14ac:dyDescent="0.3">
      <c r="A24" s="9"/>
      <c r="B24" s="9" t="s">
        <v>32</v>
      </c>
      <c r="C24" s="9">
        <v>387</v>
      </c>
      <c r="D24" s="9" t="s">
        <v>16</v>
      </c>
      <c r="E24" s="11">
        <v>475</v>
      </c>
      <c r="F24" s="11">
        <f>C24*E24</f>
        <v>183825</v>
      </c>
      <c r="G24" s="11">
        <f>F24*18%</f>
        <v>33088.5</v>
      </c>
      <c r="H24" s="12">
        <f t="shared" si="2"/>
        <v>110295</v>
      </c>
      <c r="I24" s="12">
        <f t="shared" si="3"/>
        <v>73530</v>
      </c>
      <c r="J24" s="12">
        <f t="shared" si="4"/>
        <v>285</v>
      </c>
    </row>
    <row r="25" spans="1:12" ht="13.8" thickBot="1" x14ac:dyDescent="0.3">
      <c r="A25" s="9"/>
      <c r="B25" s="9" t="s">
        <v>33</v>
      </c>
      <c r="C25" s="14">
        <v>392</v>
      </c>
      <c r="D25" s="9" t="s">
        <v>28</v>
      </c>
      <c r="E25" s="18">
        <f>F25/C25</f>
        <v>23387.704081632652</v>
      </c>
      <c r="F25" s="11">
        <v>9167980</v>
      </c>
      <c r="G25" s="11">
        <f>F25*18%</f>
        <v>1650236.4</v>
      </c>
    </row>
    <row r="26" spans="1:12" ht="13.8" thickBot="1" x14ac:dyDescent="0.3">
      <c r="A26" s="9"/>
      <c r="B26" s="9"/>
      <c r="C26" s="14"/>
      <c r="D26" s="9"/>
      <c r="E26" s="9"/>
      <c r="F26" s="11"/>
      <c r="G26" s="11"/>
    </row>
    <row r="27" spans="1:12" ht="13.8" thickBot="1" x14ac:dyDescent="0.3">
      <c r="A27" s="6" t="s">
        <v>34</v>
      </c>
      <c r="B27" s="6"/>
      <c r="C27" s="6"/>
      <c r="D27" s="6"/>
      <c r="E27" s="19"/>
      <c r="F27" s="10">
        <f>SUM(F11:F25)</f>
        <v>23100829.600000001</v>
      </c>
      <c r="G27" s="10">
        <f>SUM(G11:G25)</f>
        <v>4158149.3279999997</v>
      </c>
      <c r="H27" s="20" t="s">
        <v>30</v>
      </c>
    </row>
    <row r="28" spans="1:12" ht="13.8" thickBot="1" x14ac:dyDescent="0.3">
      <c r="A28" s="6" t="s">
        <v>35</v>
      </c>
      <c r="B28" s="6"/>
      <c r="C28" s="6"/>
      <c r="D28" s="6"/>
      <c r="E28" s="19"/>
      <c r="F28" s="9">
        <v>2.31</v>
      </c>
      <c r="G28" s="9">
        <v>0.41</v>
      </c>
      <c r="H28" t="s">
        <v>30</v>
      </c>
    </row>
    <row r="29" spans="1:12" hidden="1" x14ac:dyDescent="0.25">
      <c r="E29" t="s">
        <v>36</v>
      </c>
      <c r="F29" s="21" t="s">
        <v>37</v>
      </c>
      <c r="G29" s="20" t="s">
        <v>38</v>
      </c>
    </row>
    <row r="30" spans="1:12" hidden="1" x14ac:dyDescent="0.25">
      <c r="E30" s="20">
        <f>SUM(F11:F21)</f>
        <v>13749024.6</v>
      </c>
      <c r="F30" s="20">
        <f>E30+F24</f>
        <v>13932849.6</v>
      </c>
      <c r="G30" s="21">
        <v>23100830</v>
      </c>
    </row>
    <row r="31" spans="1:12" hidden="1" x14ac:dyDescent="0.25">
      <c r="E31" s="20">
        <f>G30-E30</f>
        <v>9351805.4000000004</v>
      </c>
      <c r="F31" s="20">
        <f>E31-F24</f>
        <v>9167980.4000000004</v>
      </c>
      <c r="G31" s="20" t="s">
        <v>30</v>
      </c>
    </row>
  </sheetData>
  <mergeCells count="10">
    <mergeCell ref="A9:G9"/>
    <mergeCell ref="A10:D10"/>
    <mergeCell ref="A27:D27"/>
    <mergeCell ref="A28:D28"/>
    <mergeCell ref="A2:G2"/>
    <mergeCell ref="A3:G3"/>
    <mergeCell ref="A4:G4"/>
    <mergeCell ref="A5:G5"/>
    <mergeCell ref="A6:G6"/>
    <mergeCell ref="A7:G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Keer</dc:creator>
  <cp:lastModifiedBy>Pranav Keer</cp:lastModifiedBy>
  <dcterms:created xsi:type="dcterms:W3CDTF">2023-12-22T10:50:57Z</dcterms:created>
  <dcterms:modified xsi:type="dcterms:W3CDTF">2023-12-22T10:51:43Z</dcterms:modified>
</cp:coreProperties>
</file>